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filterPrivacy="1" codeName="ThisWorkbook" defaultThemeVersion="124226"/>
  <xr:revisionPtr revIDLastSave="0" documentId="13_ncr:1_{6049C121-3D7E-4FC3-9176-15F9A86455C1}" xr6:coauthVersionLast="47" xr6:coauthVersionMax="47" xr10:uidLastSave="{00000000-0000-0000-0000-000000000000}"/>
  <bookViews>
    <workbookView xWindow="-108" yWindow="-108" windowWidth="23256" windowHeight="13896" tabRatio="609" xr2:uid="{00000000-000D-0000-FFFF-FFFF00000000}"/>
  </bookViews>
  <sheets>
    <sheet name="LC for PH" sheetId="10" r:id="rId1"/>
    <sheet name="Sheet1" sheetId="14" r:id="rId2"/>
  </sheets>
  <functionGroups builtInGroupCount="19"/>
  <definedNames>
    <definedName name="_xlnm.Print_Area" localSheetId="0">'LC for PH'!$A$1:$X$15</definedName>
    <definedName name="_xlnm.Print_Titles" localSheetId="0">'LC for PH'!$1:$3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" i="10" l="1"/>
  <c r="X5" i="10"/>
  <c r="Z5" i="10"/>
  <c r="X6" i="10"/>
  <c r="Z6" i="10"/>
  <c r="X7" i="10"/>
  <c r="Z7" i="10"/>
  <c r="X8" i="10"/>
  <c r="Z8" i="10"/>
  <c r="X9" i="10"/>
  <c r="Z9" i="10"/>
  <c r="X10" i="10"/>
  <c r="Z10" i="10"/>
  <c r="X11" i="10"/>
  <c r="Z11" i="10"/>
  <c r="X12" i="10"/>
  <c r="Z12" i="10"/>
  <c r="X13" i="10"/>
  <c r="Z13" i="10"/>
  <c r="X14" i="10"/>
  <c r="Z14" i="10"/>
  <c r="X15" i="10"/>
  <c r="Z15" i="10"/>
  <c r="X16" i="10"/>
  <c r="Z16" i="10"/>
  <c r="X17" i="10"/>
  <c r="Z17" i="10"/>
  <c r="X18" i="10"/>
  <c r="Z18" i="10"/>
  <c r="X19" i="10"/>
  <c r="Z19" i="10"/>
  <c r="X20" i="10"/>
  <c r="Z20" i="10"/>
  <c r="X21" i="10"/>
  <c r="Z21" i="10"/>
  <c r="X22" i="10"/>
  <c r="Z22" i="10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5" i="10"/>
  <c r="Z4" i="10"/>
</calcChain>
</file>

<file path=xl/sharedStrings.xml><?xml version="1.0" encoding="utf-8"?>
<sst xmlns="http://schemas.openxmlformats.org/spreadsheetml/2006/main" count="72" uniqueCount="49">
  <si>
    <t>LOAD COMB</t>
  </si>
  <si>
    <t>LOAD 1 DL - DEAD LOAD</t>
  </si>
  <si>
    <t>LOAD 2 LL - LIVE LOAD</t>
  </si>
  <si>
    <t>LOAD 3 WS(+X) - WIND LOAD (PRE)</t>
  </si>
  <si>
    <t>LOAD 4 WS(-X) - WIND LOAD (PRE)</t>
  </si>
  <si>
    <t>LOAD 5 WS(+Z) - WIND LOAD (PRE)</t>
  </si>
  <si>
    <t>LOAD 6 WS(-Z) - WIND LOAD (PRE)</t>
  </si>
  <si>
    <t>LOAD 7 WS(+X) - WIND LOAD (SUC)</t>
  </si>
  <si>
    <t>LOAD 8 WS(-X) - WIND LOAD (SUC)</t>
  </si>
  <si>
    <t>LOAD 9 WS(+Z) - WIND LOAD (SUC)</t>
  </si>
  <si>
    <t>LOAD 10 WS(-Z) - WIND LOAD (SUC)</t>
  </si>
  <si>
    <t>LOAD 11 EX - EARTHQUAKE LOAD</t>
  </si>
  <si>
    <t>LOAD 12 EZ - EARTHQUAKE LOAD</t>
  </si>
  <si>
    <t>;</t>
  </si>
  <si>
    <t>(EL+X)</t>
  </si>
  <si>
    <t>(EL-X)</t>
  </si>
  <si>
    <t>(EL+Z)</t>
  </si>
  <si>
    <t>(EL-Z)</t>
  </si>
  <si>
    <t>(DL)</t>
  </si>
  <si>
    <t>(LLF)</t>
  </si>
  <si>
    <t>(LFR)</t>
  </si>
  <si>
    <t>(+GCPI)</t>
  </si>
  <si>
    <t>(-GCPI)</t>
  </si>
  <si>
    <t>(TL+)</t>
  </si>
  <si>
    <t>(TL-)</t>
  </si>
  <si>
    <t>LOAD 1 SIESMIC LOAD (EL+X)</t>
  </si>
  <si>
    <t>LOAD 2 SEISMIC LOAD (EL-X)</t>
  </si>
  <si>
    <t>LOAD 3 SIESMIC LOAD (EL+Z)</t>
  </si>
  <si>
    <t>LOAD 4 SEISMIC LOAD (EL-Z)</t>
  </si>
  <si>
    <t>LOAD 5 DEAD LOAD (DL)</t>
  </si>
  <si>
    <t>LOAD 6 LIVE LOAD (LLF)</t>
  </si>
  <si>
    <t>LOAD 7 ROOF LIVE LOAD (LFR)</t>
  </si>
  <si>
    <t>LOAD 8 WIND LOAD WL+X (+GCPI)</t>
  </si>
  <si>
    <t>LOAD 9 WIND LOAD WL+X (-GCPI)</t>
  </si>
  <si>
    <t>LOAD 10 WIND LOAD WL-X (+GCPI)</t>
  </si>
  <si>
    <t>LOAD 11 WIND LOAD WL-X (-GCPI)</t>
  </si>
  <si>
    <t>LOAD 12 WIND LOAD WL+Z (+GCPI)</t>
  </si>
  <si>
    <t>LOAD 13 WIND LOAD WL+Z (-GCPI)</t>
  </si>
  <si>
    <t>LOAD 14 WIND LOAD WL-Z (+GCPI)</t>
  </si>
  <si>
    <t>LOAD 15 WIND LOAD WL-Z (-GCPI)</t>
  </si>
  <si>
    <t>LOAD 16 LOADTYPE None  TITLE TL+</t>
  </si>
  <si>
    <t>LOAD 17 LOADTYPE None  TITLE TL -</t>
  </si>
  <si>
    <t>LOAD 18 LOADTYPE None  TITLE CL_V</t>
  </si>
  <si>
    <t>LOAD 19 LOADTYPE None  TITLE CL_LAT</t>
  </si>
  <si>
    <t>LOAD 20 LOADTYPE None  TITLE CL_LON</t>
  </si>
  <si>
    <t>(CL_V)</t>
  </si>
  <si>
    <t>(CL_LAT)</t>
  </si>
  <si>
    <t>(CL_LON)</t>
  </si>
  <si>
    <t>(WL+GCPI)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</si>
</sst>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mbria"/>
      <family val="1"/>
      <scheme val="major"/>
    </font>
    <font>
      <sz val="10"/>
      <color theme="1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center" textRotation="90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 vertical="center" textRotation="90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Z23"/>
  <sheetViews>
    <sheetView showGridLines="0" tabSelected="1" zoomScale="85" zoomScaleNormal="85" zoomScaleSheetLayoutView="55" workbookViewId="0">
      <pane ySplit="3" topLeftCell="A4" activePane="bottomLeft" state="frozen"/>
      <selection pane="bottomLeft" activeCell="C23" sqref="C23"/>
    </sheetView>
  </sheetViews>
  <sheetFormatPr defaultColWidth="9.109375" defaultRowHeight="14.4" x14ac:dyDescent="0.3"/>
  <cols>
    <col min="1" max="2" width="7.109375" customWidth="1"/>
    <col min="3" max="3" width="10" style="7" customWidth="1"/>
    <col min="4" max="23" width="5.5546875" style="10" customWidth="1"/>
    <col min="24" max="24" width="39.44140625" bestFit="1" customWidth="1"/>
    <col min="25" max="25" width="2.6640625" customWidth="1"/>
    <col min="26" max="26" width="19.88671875" bestFit="1" customWidth="1"/>
  </cols>
  <sheetData>
    <row r="1" spans="1:26" s="3" customFormat="1" ht="108" customHeight="1" x14ac:dyDescent="0.3">
      <c r="A1" s="11"/>
      <c r="B1" s="11"/>
      <c r="C1" s="1" t="s">
        <v>0</v>
      </c>
      <c r="D1" s="9" t="s">
        <v>25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9" t="s">
        <v>35</v>
      </c>
      <c r="O1" s="9" t="s">
        <v>36</v>
      </c>
      <c r="P1" s="9" t="s">
        <v>37</v>
      </c>
      <c r="Q1" s="9" t="s">
        <v>38</v>
      </c>
      <c r="R1" s="9" t="s">
        <v>39</v>
      </c>
      <c r="S1" s="9" t="s">
        <v>40</v>
      </c>
      <c r="T1" s="9" t="s">
        <v>41</v>
      </c>
      <c r="U1" s="9" t="s">
        <v>42</v>
      </c>
      <c r="V1" s="9" t="s">
        <v>43</v>
      </c>
      <c r="W1" s="9" t="s">
        <v>44</v>
      </c>
    </row>
    <row r="2" spans="1:26" s="3" customFormat="1" ht="17.25" customHeight="1" x14ac:dyDescent="0.3">
      <c r="A2" s="12"/>
      <c r="B2" s="12"/>
      <c r="C2" s="4"/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13"/>
      <c r="Y2" s="13"/>
    </row>
    <row r="3" spans="1:26" x14ac:dyDescent="0.3">
      <c r="A3" s="13"/>
      <c r="B3" s="13"/>
      <c r="C3" s="5"/>
      <c r="D3" s="6" t="s">
        <v>14</v>
      </c>
      <c r="E3" s="6" t="s">
        <v>15</v>
      </c>
      <c r="F3" s="6" t="s">
        <v>16</v>
      </c>
      <c r="G3" s="6" t="s">
        <v>17</v>
      </c>
      <c r="H3" s="6" t="s">
        <v>18</v>
      </c>
      <c r="I3" s="6" t="s">
        <v>19</v>
      </c>
      <c r="J3" s="6" t="s">
        <v>20</v>
      </c>
      <c r="K3" s="6" t="s">
        <v>48</v>
      </c>
      <c r="L3" s="6" t="s">
        <v>22</v>
      </c>
      <c r="M3" s="6" t="s">
        <v>21</v>
      </c>
      <c r="N3" s="6" t="s">
        <v>22</v>
      </c>
      <c r="O3" s="6" t="s">
        <v>21</v>
      </c>
      <c r="P3" s="6" t="s">
        <v>22</v>
      </c>
      <c r="Q3" s="6" t="s">
        <v>21</v>
      </c>
      <c r="R3" s="6" t="s">
        <v>22</v>
      </c>
      <c r="S3" s="6" t="s">
        <v>23</v>
      </c>
      <c r="T3" s="6" t="s">
        <v>24</v>
      </c>
      <c r="U3" s="6" t="s">
        <v>45</v>
      </c>
      <c r="V3" s="6" t="s">
        <v>46</v>
      </c>
      <c r="W3" s="6" t="s">
        <v>47</v>
      </c>
      <c r="X3" s="13"/>
      <c r="Y3" s="13"/>
    </row>
    <row r="4" spans="1:26" x14ac:dyDescent="0.3">
      <c r="A4" s="14"/>
      <c r="B4" s="13"/>
      <c r="C4" s="8">
        <v>101</v>
      </c>
      <c r="D4" s="5"/>
      <c r="E4" s="5"/>
      <c r="F4" s="5"/>
      <c r="G4" s="5"/>
      <c r="H4" s="5">
        <v>1</v>
      </c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>
        <v>1</v>
      </c>
      <c r="X4" s="15" t="str">
        <f>TRIM(LOADCOMB(C4:W4))</f>
        <v>LOAD COMB 101 1(DL)+1(CL_LON)</v>
      </c>
      <c r="Y4" s="15" t="s">
        <v>13</v>
      </c>
      <c r="Z4" t="str">
        <f>TRIM(LC(C4:W4))</f>
        <v>5 1.0 20 1.0</v>
      </c>
    </row>
    <row r="5" spans="1:26" x14ac:dyDescent="0.3">
      <c r="A5" s="14"/>
      <c r="B5" s="13"/>
      <c r="C5" s="8">
        <f>C4+1</f>
        <v>102</v>
      </c>
      <c r="D5" s="5"/>
      <c r="E5" s="5"/>
      <c r="F5" s="5"/>
      <c r="G5" s="5"/>
      <c r="H5" s="5">
        <v>1</v>
      </c>
      <c r="I5" s="5">
        <v>1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>
        <v>1</v>
      </c>
      <c r="X5" s="15" t="str">
        <f t="shared" ref="X5:X23" si="0">TRIM(LOADCOMB(C5:W5))</f>
        <v>LOAD COMB 102 1(DL)+1(LLF)+1(CL_LON)</v>
      </c>
      <c r="Y5" s="15" t="s">
        <v>13</v>
      </c>
      <c r="Z5" t="str">
        <f t="shared" ref="Z5:Z23" si="1">TRIM(LC(C5:W5))</f>
        <v>5 1.0 6 1.0 20 1.0</v>
      </c>
    </row>
    <row r="6" spans="1:26" x14ac:dyDescent="0.3">
      <c r="A6" s="14"/>
      <c r="B6" s="13"/>
      <c r="C6" s="8">
        <f t="shared" ref="C6:C22" si="2">C5+1</f>
        <v>103</v>
      </c>
      <c r="D6" s="5"/>
      <c r="E6" s="5"/>
      <c r="F6" s="5"/>
      <c r="G6" s="5"/>
      <c r="H6" s="5">
        <v>1</v>
      </c>
      <c r="I6" s="5">
        <v>1</v>
      </c>
      <c r="J6" s="5">
        <v>1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>
        <v>1</v>
      </c>
      <c r="X6" s="15" t="str">
        <f t="shared" si="0"/>
        <v>LOAD COMB 103 1(DL)+1(LLF)+1(LFR)+1(CL_LON)</v>
      </c>
      <c r="Y6" s="15" t="s">
        <v>13</v>
      </c>
      <c r="Z6" t="str">
        <f t="shared" si="1"/>
        <v>5 1.0 6 1.0 7 1.0 20 1.0</v>
      </c>
    </row>
    <row r="7" spans="1:26" x14ac:dyDescent="0.3">
      <c r="A7" s="14"/>
      <c r="B7" s="13"/>
      <c r="C7" s="8">
        <f t="shared" si="2"/>
        <v>104</v>
      </c>
      <c r="D7" s="5"/>
      <c r="E7" s="5"/>
      <c r="F7" s="5"/>
      <c r="G7" s="5"/>
      <c r="H7" s="5">
        <v>1</v>
      </c>
      <c r="I7" s="5"/>
      <c r="J7" s="5"/>
      <c r="K7" s="5">
        <v>1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>
        <v>1</v>
      </c>
      <c r="X7" s="15" t="str">
        <f t="shared" si="0"/>
        <v>LOAD COMB 104 1(DL)+1(WL+GCPI)+1(CL_LON)</v>
      </c>
      <c r="Y7" s="15" t="s">
        <v>13</v>
      </c>
      <c r="Z7" t="str">
        <f t="shared" si="1"/>
        <v>5 1.0 8 1.0 20 1.0</v>
      </c>
    </row>
    <row r="8" spans="1:26" x14ac:dyDescent="0.3">
      <c r="A8" s="14"/>
      <c r="B8" s="13"/>
      <c r="C8" s="8">
        <f t="shared" si="2"/>
        <v>105</v>
      </c>
      <c r="D8" s="5"/>
      <c r="E8" s="5"/>
      <c r="F8" s="5"/>
      <c r="G8" s="5"/>
      <c r="H8" s="5">
        <v>1</v>
      </c>
      <c r="I8" s="5"/>
      <c r="J8" s="5"/>
      <c r="K8" s="5"/>
      <c r="L8" s="5">
        <v>1</v>
      </c>
      <c r="M8" s="5"/>
      <c r="N8" s="5"/>
      <c r="O8" s="5"/>
      <c r="P8" s="5"/>
      <c r="Q8" s="5"/>
      <c r="R8" s="5"/>
      <c r="S8" s="5"/>
      <c r="T8" s="5"/>
      <c r="U8" s="5"/>
      <c r="V8" s="5"/>
      <c r="W8" s="5">
        <v>1</v>
      </c>
      <c r="X8" s="15" t="str">
        <f t="shared" si="0"/>
        <v>LOAD COMB 105 1(DL)+1(-GCPI)+1(CL_LON)</v>
      </c>
      <c r="Y8" s="15" t="s">
        <v>13</v>
      </c>
      <c r="Z8" t="str">
        <f t="shared" si="1"/>
        <v>5 1.0 9 1.0 20 1.0</v>
      </c>
    </row>
    <row r="9" spans="1:26" x14ac:dyDescent="0.3">
      <c r="A9" s="14"/>
      <c r="B9" s="13"/>
      <c r="C9" s="8">
        <f t="shared" si="2"/>
        <v>106</v>
      </c>
      <c r="D9" s="5"/>
      <c r="E9" s="5"/>
      <c r="F9" s="5"/>
      <c r="G9" s="5"/>
      <c r="H9" s="5">
        <v>1</v>
      </c>
      <c r="I9" s="5"/>
      <c r="J9" s="5"/>
      <c r="K9" s="5"/>
      <c r="L9" s="5"/>
      <c r="M9" s="5">
        <v>1</v>
      </c>
      <c r="N9" s="5"/>
      <c r="O9" s="5"/>
      <c r="P9" s="5"/>
      <c r="Q9" s="5"/>
      <c r="R9" s="5"/>
      <c r="S9" s="5"/>
      <c r="T9" s="5"/>
      <c r="U9" s="5"/>
      <c r="V9" s="5"/>
      <c r="W9" s="5">
        <v>1</v>
      </c>
      <c r="X9" s="15" t="str">
        <f t="shared" si="0"/>
        <v>LOAD COMB 106 1(DL)+1(+GCPI)+1(CL_LON)</v>
      </c>
      <c r="Y9" s="15" t="s">
        <v>13</v>
      </c>
      <c r="Z9" t="str">
        <f t="shared" si="1"/>
        <v>5 1.0 10 1.0 20 1.0</v>
      </c>
    </row>
    <row r="10" spans="1:26" x14ac:dyDescent="0.3">
      <c r="A10" s="14"/>
      <c r="B10" s="13"/>
      <c r="C10" s="8">
        <f t="shared" si="2"/>
        <v>107</v>
      </c>
      <c r="D10" s="5"/>
      <c r="E10" s="5"/>
      <c r="F10" s="5"/>
      <c r="G10" s="5"/>
      <c r="H10" s="5">
        <v>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>
        <v>1</v>
      </c>
      <c r="X10" s="15" t="str">
        <f t="shared" si="0"/>
        <v>LOAD COMB 107 1(DL)+1(CL_LON)</v>
      </c>
      <c r="Y10" s="15" t="s">
        <v>13</v>
      </c>
      <c r="Z10" t="str">
        <f t="shared" si="1"/>
        <v>5 1.0 20 1.0</v>
      </c>
    </row>
    <row r="11" spans="1:26" x14ac:dyDescent="0.3">
      <c r="A11" s="14"/>
      <c r="B11" s="13"/>
      <c r="C11" s="8">
        <f t="shared" si="2"/>
        <v>108</v>
      </c>
      <c r="D11" s="5"/>
      <c r="E11" s="5"/>
      <c r="F11" s="5"/>
      <c r="G11" s="5"/>
      <c r="H11" s="5">
        <v>1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>
        <v>1</v>
      </c>
      <c r="X11" s="15" t="str">
        <f t="shared" si="0"/>
        <v>LOAD COMB 108 1(DL)+1(CL_LON)</v>
      </c>
      <c r="Y11" s="15" t="s">
        <v>13</v>
      </c>
      <c r="Z11" t="str">
        <f t="shared" si="1"/>
        <v>5 1.0 20 1.0</v>
      </c>
    </row>
    <row r="12" spans="1:26" x14ac:dyDescent="0.3">
      <c r="A12" s="14"/>
      <c r="B12" s="13"/>
      <c r="C12" s="8">
        <f t="shared" si="2"/>
        <v>109</v>
      </c>
      <c r="D12" s="5"/>
      <c r="E12" s="5"/>
      <c r="F12" s="5"/>
      <c r="G12" s="5"/>
      <c r="H12" s="5">
        <v>1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>
        <v>1</v>
      </c>
      <c r="X12" s="15" t="str">
        <f t="shared" si="0"/>
        <v>LOAD COMB 109 1(DL)+1(CL_LON)</v>
      </c>
      <c r="Y12" s="15" t="s">
        <v>13</v>
      </c>
      <c r="Z12" t="str">
        <f t="shared" si="1"/>
        <v>5 1.0 20 1.0</v>
      </c>
    </row>
    <row r="13" spans="1:26" x14ac:dyDescent="0.3">
      <c r="A13" s="14"/>
      <c r="B13" s="13"/>
      <c r="C13" s="8">
        <f t="shared" si="2"/>
        <v>110</v>
      </c>
      <c r="D13" s="5"/>
      <c r="E13" s="5"/>
      <c r="F13" s="5"/>
      <c r="G13" s="5"/>
      <c r="H13" s="5">
        <v>1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>
        <v>1</v>
      </c>
      <c r="X13" s="15" t="str">
        <f t="shared" si="0"/>
        <v>LOAD COMB 110 1(DL)+1(CL_LON)</v>
      </c>
      <c r="Y13" s="15" t="s">
        <v>13</v>
      </c>
      <c r="Z13" t="str">
        <f t="shared" si="1"/>
        <v>5 1.0 20 1.0</v>
      </c>
    </row>
    <row r="14" spans="1:26" x14ac:dyDescent="0.3">
      <c r="A14" s="14"/>
      <c r="B14" s="13"/>
      <c r="C14" s="8">
        <f t="shared" si="2"/>
        <v>111</v>
      </c>
      <c r="D14" s="5"/>
      <c r="E14" s="5"/>
      <c r="F14" s="5"/>
      <c r="G14" s="5"/>
      <c r="H14" s="5">
        <v>1</v>
      </c>
      <c r="I14" s="5"/>
      <c r="J14" s="5"/>
      <c r="K14" s="5"/>
      <c r="L14" s="5"/>
      <c r="M14" s="5"/>
      <c r="N14" s="5"/>
      <c r="O14" s="5"/>
      <c r="P14" s="5">
        <v>1</v>
      </c>
      <c r="Q14" s="5"/>
      <c r="R14" s="5"/>
      <c r="S14" s="5"/>
      <c r="T14" s="5"/>
      <c r="U14" s="5"/>
      <c r="V14" s="5"/>
      <c r="W14" s="5">
        <v>1</v>
      </c>
      <c r="X14" s="15" t="str">
        <f t="shared" si="0"/>
        <v>LOAD COMB 111 1(DL)+1(-GCPI)+1(CL_LON)</v>
      </c>
      <c r="Y14" s="15" t="s">
        <v>13</v>
      </c>
      <c r="Z14" t="str">
        <f t="shared" si="1"/>
        <v>5 1.0 13 1.0 20 1.0</v>
      </c>
    </row>
    <row r="15" spans="1:26" x14ac:dyDescent="0.3">
      <c r="A15" s="14"/>
      <c r="B15" s="13"/>
      <c r="C15" s="8">
        <f t="shared" si="2"/>
        <v>112</v>
      </c>
      <c r="D15" s="5"/>
      <c r="E15" s="5"/>
      <c r="F15" s="5"/>
      <c r="G15" s="5"/>
      <c r="H15" s="5">
        <v>1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>
        <v>1</v>
      </c>
      <c r="X15" s="15" t="str">
        <f t="shared" si="0"/>
        <v>LOAD COMB 112 1(DL)+1(CL_LON)</v>
      </c>
      <c r="Y15" s="15" t="s">
        <v>13</v>
      </c>
      <c r="Z15" t="str">
        <f t="shared" si="1"/>
        <v>5 1.0 20 1.0</v>
      </c>
    </row>
    <row r="16" spans="1:26" x14ac:dyDescent="0.3">
      <c r="C16" s="8">
        <f t="shared" si="2"/>
        <v>113</v>
      </c>
      <c r="H16" s="10">
        <v>1</v>
      </c>
      <c r="K16" s="10">
        <v>0.5</v>
      </c>
      <c r="W16" s="10">
        <v>1</v>
      </c>
      <c r="X16" s="15" t="str">
        <f t="shared" si="0"/>
        <v>LOAD COMB 113 1(DL)+0.5(WL+GCPI)+1(CL_LON)</v>
      </c>
      <c r="Y16" s="15" t="s">
        <v>13</v>
      </c>
      <c r="Z16" t="str">
        <f t="shared" si="1"/>
        <v>5 1.0 8 0.5 20 1.0</v>
      </c>
    </row>
    <row r="17" spans="3:26" x14ac:dyDescent="0.3">
      <c r="C17" s="8">
        <f t="shared" si="2"/>
        <v>114</v>
      </c>
      <c r="H17" s="10">
        <v>1</v>
      </c>
      <c r="W17" s="10">
        <v>1</v>
      </c>
      <c r="X17" s="15" t="str">
        <f t="shared" si="0"/>
        <v>LOAD COMB 114 1(DL)+1(CL_LON)</v>
      </c>
      <c r="Y17" s="15" t="s">
        <v>13</v>
      </c>
      <c r="Z17" t="str">
        <f t="shared" si="1"/>
        <v>5 1.0 20 1.0</v>
      </c>
    </row>
    <row r="18" spans="3:26" x14ac:dyDescent="0.3">
      <c r="C18" s="8">
        <f t="shared" si="2"/>
        <v>115</v>
      </c>
      <c r="H18" s="10">
        <v>1</v>
      </c>
      <c r="W18" s="10">
        <v>1</v>
      </c>
      <c r="X18" s="15" t="str">
        <f t="shared" si="0"/>
        <v>LOAD COMB 115 1(DL)+1(CL_LON)</v>
      </c>
      <c r="Y18" s="15" t="s">
        <v>13</v>
      </c>
      <c r="Z18" t="str">
        <f t="shared" si="1"/>
        <v>5 1.0 20 1.0</v>
      </c>
    </row>
    <row r="19" spans="3:26" x14ac:dyDescent="0.3">
      <c r="C19" s="8">
        <f t="shared" si="2"/>
        <v>116</v>
      </c>
      <c r="H19" s="10">
        <v>1</v>
      </c>
      <c r="W19" s="10">
        <v>1</v>
      </c>
      <c r="X19" s="15" t="str">
        <f t="shared" si="0"/>
        <v>LOAD COMB 116 1(DL)+1(CL_LON)</v>
      </c>
      <c r="Y19" s="15" t="s">
        <v>13</v>
      </c>
      <c r="Z19" t="str">
        <f t="shared" si="1"/>
        <v>5 1.0 20 1.0</v>
      </c>
    </row>
    <row r="20" spans="3:26" x14ac:dyDescent="0.3">
      <c r="C20" s="8">
        <f t="shared" si="2"/>
        <v>117</v>
      </c>
      <c r="H20" s="10">
        <v>1</v>
      </c>
      <c r="W20" s="10">
        <v>1</v>
      </c>
      <c r="X20" s="15" t="str">
        <f t="shared" si="0"/>
        <v>LOAD COMB 117 1(DL)+1(CL_LON)</v>
      </c>
      <c r="Y20" s="15" t="s">
        <v>13</v>
      </c>
      <c r="Z20" t="str">
        <f t="shared" si="1"/>
        <v>5 1.0 20 1.0</v>
      </c>
    </row>
    <row r="21" spans="3:26" x14ac:dyDescent="0.3">
      <c r="C21" s="8">
        <f t="shared" si="2"/>
        <v>118</v>
      </c>
      <c r="H21" s="10">
        <v>1</v>
      </c>
      <c r="W21" s="10">
        <v>1</v>
      </c>
      <c r="X21" s="15" t="str">
        <f t="shared" si="0"/>
        <v>LOAD COMB 118 1(DL)+1(CL_LON)</v>
      </c>
      <c r="Y21" s="15" t="s">
        <v>13</v>
      </c>
      <c r="Z21" t="str">
        <f t="shared" si="1"/>
        <v>5 1.0 20 1.0</v>
      </c>
    </row>
    <row r="22" spans="3:26" x14ac:dyDescent="0.3">
      <c r="C22" s="8">
        <f t="shared" si="2"/>
        <v>119</v>
      </c>
      <c r="H22" s="10">
        <v>1</v>
      </c>
      <c r="W22" s="10">
        <v>1</v>
      </c>
      <c r="X22" s="15" t="str">
        <f t="shared" si="0"/>
        <v>LOAD COMB 119 1(DL)+1(CL_LON)</v>
      </c>
      <c r="Y22" s="15" t="s">
        <v>13</v>
      </c>
      <c r="Z22" t="str">
        <f t="shared" si="1"/>
        <v>5 1.0 20 1.0</v>
      </c>
    </row>
    <row r="23" spans="3:26" x14ac:dyDescent="0.3">
      <c r="X23" s="15"/>
      <c r="Y23" s="15"/>
    </row>
  </sheetData>
  <pageMargins left="0.70866141732283472" right="0.70866141732283472" top="0.74803149606299213" bottom="0.74803149606299213" header="0.31496062992125984" footer="0.31496062992125984"/>
  <pageSetup paperSize="8" scale="1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1:C12"/>
  <sheetViews>
    <sheetView workbookViewId="0">
      <selection activeCell="K14" sqref="K14"/>
    </sheetView>
  </sheetViews>
  <sheetFormatPr defaultRowHeight="14.4" x14ac:dyDescent="0.3"/>
  <sheetData>
    <row r="1" spans="3:3" x14ac:dyDescent="0.3">
      <c r="C1" t="s">
        <v>1</v>
      </c>
    </row>
    <row r="2" spans="3:3" x14ac:dyDescent="0.3">
      <c r="C2" t="s">
        <v>2</v>
      </c>
    </row>
    <row r="3" spans="3:3" x14ac:dyDescent="0.3">
      <c r="C3" t="s">
        <v>3</v>
      </c>
    </row>
    <row r="4" spans="3:3" x14ac:dyDescent="0.3">
      <c r="C4" t="s">
        <v>4</v>
      </c>
    </row>
    <row r="5" spans="3:3" x14ac:dyDescent="0.3">
      <c r="C5" t="s">
        <v>5</v>
      </c>
    </row>
    <row r="6" spans="3:3" x14ac:dyDescent="0.3">
      <c r="C6" t="s">
        <v>6</v>
      </c>
    </row>
    <row r="7" spans="3:3" x14ac:dyDescent="0.3">
      <c r="C7" t="s">
        <v>7</v>
      </c>
    </row>
    <row r="8" spans="3:3" x14ac:dyDescent="0.3">
      <c r="C8" t="s">
        <v>8</v>
      </c>
    </row>
    <row r="9" spans="3:3" x14ac:dyDescent="0.3">
      <c r="C9" t="s">
        <v>9</v>
      </c>
    </row>
    <row r="10" spans="3:3" x14ac:dyDescent="0.3">
      <c r="C10" t="s">
        <v>10</v>
      </c>
    </row>
    <row r="11" spans="3:3" x14ac:dyDescent="0.3">
      <c r="C11" t="s">
        <v>11</v>
      </c>
    </row>
    <row r="12" spans="3:3" x14ac:dyDescent="0.3">
      <c r="C12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LC for PH</vt:lpstr>
      <vt:lpstr>Sheet1</vt:lpstr>
      <vt:lpstr>'LC for PH'!Print_Area</vt:lpstr>
      <vt:lpstr>'LC for PH'!Print_Titles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2026-09-25T10:43:54Z</dcterms:modified>
</cp:coreProperties>
</file>